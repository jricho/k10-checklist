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lf-Assessment" sheetId="2" state="visible" r:id="rId4"/>
    <sheet name="Summary" sheetId="3" state="visible" r:id="rId5"/>
    <sheet name="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Kasten Maturity Guide</author>
  </authors>
  <commentList>
    <comment ref="G1" authorId="0">
      <text>
        <r>
          <rPr>
            <sz val="10"/>
            <rFont val="Arial"/>
            <family val="2"/>
          </rPr>
          <t xml:space="preserve">Enter your current maturity level for this dimension, from 1 (Ad Hoc) to 5 (Adaptive).</t>
        </r>
      </text>
    </comment>
    <comment ref="H1" authorId="0">
      <text>
        <r>
          <rPr>
            <sz val="10"/>
            <rFont val="Arial"/>
            <family val="2"/>
          </rPr>
          <t xml:space="preserve">Enter your target maturity level for this dimension for your next planning cycle.</t>
        </r>
      </text>
    </comment>
  </commentList>
</comments>
</file>

<file path=xl/sharedStrings.xml><?xml version="1.0" encoding="utf-8"?>
<sst xmlns="http://schemas.openxmlformats.org/spreadsheetml/2006/main" count="223" uniqueCount="151">
  <si>
    <t xml:space="preserve">Veeam Kasten Maturity Self-Assessment</t>
  </si>
  <si>
    <t xml:space="preserve">A companion scorecard to the Kasten Maturity Model &amp; Day-2 Operating Guide</t>
  </si>
  <si>
    <t xml:space="preserve">How to use this workbook</t>
  </si>
  <si>
    <t xml:space="preserve">1.  Open the 'Self-Assessment' tab. For each of the seven dimensions, read the five level descriptors (drawn directly from the</t>
  </si>
  <si>
    <t xml:space="preserve">     Kasten Maturity Model guide, Section 2.3) and decide which best matches your current environment.</t>
  </si>
  <si>
    <t xml:space="preserve">2.  Enter a number from 1-5 in the 'Current Level' column (yellow cells) for each dimension. A dropdown list is provided.</t>
  </si>
  <si>
    <t xml:space="preserve">3.  Enter a number from 1-5 in the 'Target Level' column for where you intend to be by your next review cycle.</t>
  </si>
  <si>
    <t xml:space="preserve">4.  Use the 'Notes / Action Items' column to record what needs to happen to close the gap.</t>
  </si>
  <si>
    <t xml:space="preserve">5.  Open the 'Summary' tab to see your overall maturity score and a chart comparing current vs. target level by dimension.</t>
  </si>
  <si>
    <t xml:space="preserve">6.  Open the 'Recommendations' tab. For each dimension, it automatically shows the single next recommended action based on</t>
  </si>
  <si>
    <t xml:space="preserve">     your Current Level, plus a full library of recommended actions for every level transition as a standing reference.</t>
  </si>
  <si>
    <t xml:space="preserve">7.  Reassess at least annually, or after any significant change (new regulatory requirement, fleet growth, incident, or DR drill).</t>
  </si>
  <si>
    <t xml:space="preserve">Worked example</t>
  </si>
  <si>
    <t xml:space="preserve">If your production PostgreSQL databases are backed up nightly with an offsite export, but you have not yet deployed Kanister</t>
  </si>
  <si>
    <t xml:space="preserve">Blueprints, you might score 'Application Consistency' as Current Level = 2, Target Level = 4, with a note such as: 'Build and</t>
  </si>
  <si>
    <t xml:space="preserve">test a Postgres Blueprint in staging by end of Q3; roll out to production in Q4.'</t>
  </si>
  <si>
    <t xml:space="preserve">Legend</t>
  </si>
  <si>
    <t xml:space="preserve">Yellow fill = cell you fill in (Current Level, Target Level, Notes)</t>
  </si>
  <si>
    <t xml:space="preserve">White / grey cells = reference content — do not need to be edited</t>
  </si>
  <si>
    <t xml:space="preserve">Dimension</t>
  </si>
  <si>
    <t xml:space="preserve">Level 1 — Ad Hoc</t>
  </si>
  <si>
    <t xml:space="preserve">Level 2 — Foundational</t>
  </si>
  <si>
    <t xml:space="preserve">Level 3 — Managed</t>
  </si>
  <si>
    <t xml:space="preserve">Level 4 — Resilient</t>
  </si>
  <si>
    <t xml:space="preserve">Level 5 — Adaptive</t>
  </si>
  <si>
    <t xml:space="preserve">Current Level (1-5)</t>
  </si>
  <si>
    <t xml:space="preserve">Target Level (1-5)</t>
  </si>
  <si>
    <t xml:space="preserve">Notes / Action Items</t>
  </si>
  <si>
    <t xml:space="preserve">Coverage &amp; Policy Automation</t>
  </si>
  <si>
    <t xml:space="preserve">Manual, one-off backups on a single cluster. No policy exists; workloads can be unprotected without anyone noticing.</t>
  </si>
  <si>
    <t xml:space="preserve">Scheduled backup policies with defined retention. Workload selection still largely manual.</t>
  </si>
  <si>
    <t xml:space="preserve">Policies driven by namespace or label selectors; new workloads automatically protected. Backup windows and staggering configured.</t>
  </si>
  <si>
    <t xml:space="preserve">Full fleet coverage validated against inventory; policy presets standardize configuration by workload tier.</t>
  </si>
  <si>
    <t xml:space="preserve">New applications and business units onboarded with zero manual backup configuration; automation continuously tuned.</t>
  </si>
  <si>
    <t xml:space="preserve">Application Consistency</t>
  </si>
  <si>
    <t xml:space="preserve">Crash-consistent snapshots only. No Kanister Blueprints in use.</t>
  </si>
  <si>
    <t xml:space="preserve">Awareness of which workloads need application-aware handling, but Blueprints not yet broadly applied.</t>
  </si>
  <si>
    <t xml:space="preserve">Kanister Blueprints applied to key data services (PostgreSQL, MongoDB, MySQL, etc.) via Blueprint Bindings.</t>
  </si>
  <si>
    <t xml:space="preserve">Application-consistent backup is the default for all stateful workloads; validated end-to-end via test restores.</t>
  </si>
  <si>
    <t xml:space="preserve">Blueprint library actively maintained and extended in-house; new application types onboarded with custom Blueprints.</t>
  </si>
  <si>
    <t xml:space="preserve">Storage, Immutability &amp; Security</t>
  </si>
  <si>
    <t xml:space="preserve">Snapshots remain local to the storage device. No offsite export, no immutability, no encryption strategy.</t>
  </si>
  <si>
    <t xml:space="preserve">Exports flow to at least one offsite Location Profile (object storage, Veeam Vault, or VBR repository). Encrypted in transit/at rest.</t>
  </si>
  <si>
    <t xml:space="preserve">Multiple Location Profiles in use; immutability enforced fleet-wide; backup credentials separated from cluster credentials.</t>
  </si>
  <si>
    <t xml:space="preserve">Immutability enforced everywhere; BYOK/CMEK used where supported; storage lifecycle policies manage cost.</t>
  </si>
  <si>
    <t xml:space="preserve">Backup patterns monitored for anomalies via SIEM integration; storage cost continuously optimized via FinOps practices.</t>
  </si>
  <si>
    <t xml:space="preserve">Centralized Management &amp; Multi-Cluster</t>
  </si>
  <si>
    <t xml:space="preserve">A single K10 instance on a single cluster. No Multi-Cluster Manager, no global policy concept.</t>
  </si>
  <si>
    <t xml:space="preserve">Still single-cluster; each K10 instance configured and operated independently.</t>
  </si>
  <si>
    <t xml:space="preserve">Multi-Cluster Manager (MCM) deployed; Global Policies and Global Profiles distribute consistent configuration.</t>
  </si>
  <si>
    <t xml:space="preserve">Full multi-cluster fleet, including edge/air-gapped sites, centrally governed with local caching where needed.</t>
  </si>
  <si>
    <t xml:space="preserve">Namespace-scoped self-service restore lets application teams recover their own workloads within RBAC boundaries.</t>
  </si>
  <si>
    <t xml:space="preserve">Disaster Recovery</t>
  </si>
  <si>
    <t xml:space="preserve">No disaster recovery plan. Recovery, if attempted, is improvised.</t>
  </si>
  <si>
    <t xml:space="preserve">Export-only DR: rebuild the cluster, reinstall Kasten, and restore from exports.</t>
  </si>
  <si>
    <t xml:space="preserve">DR environment with an Import Policy: restore points regularly imported into a standby catalog, visible but not running.</t>
  </si>
  <si>
    <t xml:space="preserve">KDR enabled; DR topology (cold/warm standby) matched to workload tier RTO/RPO; drills scheduled.</t>
  </si>
  <si>
    <t xml:space="preserve">DR validated through regular automated game-day exercises; RTO/RPO continuously measured against business requirements.</t>
  </si>
  <si>
    <t xml:space="preserve">Observability, Compliance &amp; Reporting</t>
  </si>
  <si>
    <t xml:space="preserve">No monitoring of job success or failure. No compliance evidence exists.</t>
  </si>
  <si>
    <t xml:space="preserve">Dashboard reviewed periodically. No external alerting integration yet.</t>
  </si>
  <si>
    <t xml:space="preserve">Metrics exported to Grafana/Datadog/Thanos-class tooling; alerts on failed jobs or RPO breaches; coverage audits.</t>
  </si>
  <si>
    <t xml:space="preserve">Compliance reporting operational (SOC 2, PCI-DSS, HIPAA); backup coverage tracked as a fleet governance metric.</t>
  </si>
  <si>
    <t xml:space="preserve">Real-time compliance dashboards; licensing/entitlement tracked proactively; annual architecture review.</t>
  </si>
  <si>
    <t xml:space="preserve">People, Process &amp; Continuous Validation</t>
  </si>
  <si>
    <t xml:space="preserve">No documented runbook. No restore has ever been tested.</t>
  </si>
  <si>
    <t xml:space="preserve">Backup owner identified. First restore test performed and passed on a non-critical workload.</t>
  </si>
  <si>
    <t xml:space="preserve">Policies and architecture documented. Recurring review cadence emerging; more than one person can operate the environment.</t>
  </si>
  <si>
    <t xml:space="preserve">Recovery testing scheduled (quarterly+), documented with actual recovery times against RTO targets; runbooks kept current.</t>
  </si>
  <si>
    <t xml:space="preserve">Continuous improvement loop: findings from every drill/incident feed back into policy, architecture, and training.</t>
  </si>
  <si>
    <t xml:space="preserve">Maturity Summary</t>
  </si>
  <si>
    <t xml:space="preserve">Current Level</t>
  </si>
  <si>
    <t xml:space="preserve">Target Level</t>
  </si>
  <si>
    <t xml:space="preserve">Gap</t>
  </si>
  <si>
    <t xml:space="preserve">Reference: Level 1 → 5 descriptor (short)</t>
  </si>
  <si>
    <t xml:space="preserve">Manual → automatic, zero-touch policy coverage</t>
  </si>
  <si>
    <t xml:space="preserve">Crash-consistent → in-house Blueprint library</t>
  </si>
  <si>
    <t xml:space="preserve">Local, no copy → SIEM-monitored, FinOps-optimized</t>
  </si>
  <si>
    <t xml:space="preserve">Single cluster → self-service, namespace-scoped restore</t>
  </si>
  <si>
    <t xml:space="preserve">No plan → automated, continuously benchmarked DR</t>
  </si>
  <si>
    <t xml:space="preserve">No monitoring → real-time compliance dashboards</t>
  </si>
  <si>
    <t xml:space="preserve">No runbook → continuous improvement loop</t>
  </si>
  <si>
    <t xml:space="preserve">Overall average</t>
  </si>
  <si>
    <t xml:space="preserve">Prioritize dimensions with the largest gap first — they represent the biggest single-step reduction in operational risk.</t>
  </si>
  <si>
    <t xml:space="preserve">Recommended Actions</t>
  </si>
  <si>
    <t xml:space="preserve">Automatically shows the next recommended action for each dimension, based on your Current Level on the Self-Assessment tab.</t>
  </si>
  <si>
    <t xml:space="preserve">Priority</t>
  </si>
  <si>
    <t xml:space="preserve">Recommended Next Step</t>
  </si>
  <si>
    <t xml:space="preserve">Full Recommendation Library (reference — every level transition, all dimensions)</t>
  </si>
  <si>
    <t xml:space="preserve">Transition</t>
  </si>
  <si>
    <t xml:space="preserve">Recommended Action</t>
  </si>
  <si>
    <t xml:space="preserve">1 → 2</t>
  </si>
  <si>
    <t xml:space="preserve">Move from manual, one-off backups to scheduled policies with defined retention (e.g., 1 daily / 4 weekly / 3 monthly) covering every critical namespace.</t>
  </si>
  <si>
    <t xml:space="preserve">Coverage &amp; Policy Automation|1</t>
  </si>
  <si>
    <t xml:space="preserve">2 → 3</t>
  </si>
  <si>
    <t xml:space="preserve">Replace manual workload selection with namespace- or label-based policy selectors so new workloads are automatically covered; define backup windows and stagger jobs to avoid contention.</t>
  </si>
  <si>
    <t xml:space="preserve">Coverage &amp; Policy Automation|2</t>
  </si>
  <si>
    <t xml:space="preserve">3 → 4</t>
  </si>
  <si>
    <t xml:space="preserve">Run a full coverage audit against your workload inventory; standardize policy presets and global resources by workload tier (production / non-production / edge).</t>
  </si>
  <si>
    <t xml:space="preserve">Coverage &amp; Policy Automation|3</t>
  </si>
  <si>
    <t xml:space="preserve">4 → 5</t>
  </si>
  <si>
    <t xml:space="preserve">Automate onboarding so new applications and business units are covered with zero manual backup configuration; review and tune policy automation on a recurring cadence.</t>
  </si>
  <si>
    <t xml:space="preserve">Coverage &amp; Policy Automation|4</t>
  </si>
  <si>
    <t xml:space="preserve">Identify which workloads run databases or other stateful services that need application-aware handling, and document the gap even where Blueprints are not yet applied.</t>
  </si>
  <si>
    <t xml:space="preserve">Application Consistency|1</t>
  </si>
  <si>
    <t xml:space="preserve">Deploy Kanister Blueprints for key data services (PostgreSQL, MongoDB, MySQL, etc.) via Blueprint Bindings, and validate each with a test restore.</t>
  </si>
  <si>
    <t xml:space="preserve">Application Consistency|2</t>
  </si>
  <si>
    <t xml:space="preserve">Make application-consistent backup the default for all stateful workloads; validate every Blueprint end-to-end (backup and restore), not just backup success.</t>
  </si>
  <si>
    <t xml:space="preserve">Application Consistency|3</t>
  </si>
  <si>
    <t xml:space="preserve">Build an in-house Blueprint library and assign clear ownership for maintaining and extending it as new application types are adopted.</t>
  </si>
  <si>
    <t xml:space="preserve">Application Consistency|4</t>
  </si>
  <si>
    <t xml:space="preserve">Configure at least one offsite Location Profile (object storage, Veeam Vault, or VBR repository) and confirm encryption is enabled in transit and at rest.</t>
  </si>
  <si>
    <t xml:space="preserve">Storage, Immutability &amp; Security|1</t>
  </si>
  <si>
    <t xml:space="preserve">Add further Location Profiles and enforce immutability (Object Lock or equivalent) fleet-wide; separate backup storage credentials from cluster credentials.</t>
  </si>
  <si>
    <t xml:space="preserve">Storage, Immutability &amp; Security|2</t>
  </si>
  <si>
    <t xml:space="preserve">Adopt customer-managed encryption keys (BYOK/CMEK) where supported, and implement object storage lifecycle policies to manage cost.</t>
  </si>
  <si>
    <t xml:space="preserve">Storage, Immutability &amp; Security|3</t>
  </si>
  <si>
    <t xml:space="preserve">Integrate backup telemetry with SIEM to detect anomalous size or deletion patterns, and adopt FinOps practices to continuously optimize storage cost.</t>
  </si>
  <si>
    <t xml:space="preserve">Storage, Immutability &amp; Security|4</t>
  </si>
  <si>
    <t xml:space="preserve">Document each cluster's Kasten configuration individually, and identify candidates for centralization as the fleet grows.</t>
  </si>
  <si>
    <t xml:space="preserve">Centralized Management &amp; Multi-Cluster|1</t>
  </si>
  <si>
    <t xml:space="preserve">Deploy Multi-Cluster Manager (MCM); define Global Policies and Global Profiles for consistent fleet-wide configuration and centralize licensing.</t>
  </si>
  <si>
    <t xml:space="preserve">Centralized Management &amp; Multi-Cluster|2</t>
  </si>
  <si>
    <t xml:space="preserve">Onboard edge and air-gapped clusters into central governance with local caching (e.g., MinIO) and scheduled synchronization windows.</t>
  </si>
  <si>
    <t xml:space="preserve">Centralized Management &amp; Multi-Cluster|3</t>
  </si>
  <si>
    <t xml:space="preserve">Enable namespace-scoped self-service restore so application teams can recover their own workloads within RBAC boundaries.</t>
  </si>
  <si>
    <t xml:space="preserve">Centralized Management &amp; Multi-Cluster|4</t>
  </si>
  <si>
    <t xml:space="preserve">Document a basic export-only DR plan: rebuild the cluster, reinstall Kasten, and restore from exports.</t>
  </si>
  <si>
    <t xml:space="preserve">Disaster Recovery|1</t>
  </si>
  <si>
    <t xml:space="preserve">Stand up a DR environment with an Import Policy so restore points are regularly imported and visible in a standby catalog.</t>
  </si>
  <si>
    <t xml:space="preserve">Disaster Recovery|2</t>
  </si>
  <si>
    <t xml:space="preserve">Enable Kasten DR (KDR) to protect the backup catalog itself; match cold/warm standby topology to each workload tier's RTO/RPO and schedule DR drills.</t>
  </si>
  <si>
    <t xml:space="preserve">Disaster Recovery|3</t>
  </si>
  <si>
    <t xml:space="preserve">Automate DR validation through regular game-day exercises, and continuously re-benchmark RTO/RPO against current business requirements.</t>
  </si>
  <si>
    <t xml:space="preserve">Disaster Recovery|4</t>
  </si>
  <si>
    <t xml:space="preserve">Begin reviewing the Kasten dashboard on a regular basis (at least weekly) and act on any failed or warned jobs promptly.</t>
  </si>
  <si>
    <t xml:space="preserve">Observability, Compliance &amp; Reporting|1</t>
  </si>
  <si>
    <t xml:space="preserve">Integrate metrics with Grafana/Datadog/Thanos-class tooling, configure alerts for failed jobs and RPO breaches, and run periodic coverage audits.</t>
  </si>
  <si>
    <t xml:space="preserve">Observability, Compliance &amp; Reporting|2</t>
  </si>
  <si>
    <t xml:space="preserve">Turn on compliance reporting (SOC 2, PCI-DSS, HIPAA) and track backup coverage as a fleet governance metric, not just a per-cluster status.</t>
  </si>
  <si>
    <t xml:space="preserve">Observability, Compliance &amp; Reporting|3</t>
  </si>
  <si>
    <t xml:space="preserve">Build real-time compliance dashboards, proactively track licensing and entitlement ahead of renewal, and conduct an annual architecture review.</t>
  </si>
  <si>
    <t xml:space="preserve">Observability, Compliance &amp; Reporting|4</t>
  </si>
  <si>
    <t xml:space="preserve">Assign a named backup owner and perform your first restore test on a non-critical workload before relying on any backup.</t>
  </si>
  <si>
    <t xml:space="preserve">People, Process &amp; Continuous Validation|1</t>
  </si>
  <si>
    <t xml:space="preserve">Document policies and architecture, establish a recurring review cadence, and train a second operator so the environment is not a single-person dependency.</t>
  </si>
  <si>
    <t xml:space="preserve">People, Process &amp; Continuous Validation|2</t>
  </si>
  <si>
    <t xml:space="preserve">Schedule recovery testing at least quarterly; document actual recovery times against RTO targets and keep runbooks current.</t>
  </si>
  <si>
    <t xml:space="preserve">People, Process &amp; Continuous Validation|3</t>
  </si>
  <si>
    <t xml:space="preserve">Establish a continuous improvement loop where findings from every drill or incident feed back into policy, architecture, and training; reassess maturity annually.</t>
  </si>
  <si>
    <t xml:space="preserve">People, Process &amp; Continuous Validation|4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</si>
</sst>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1F23"/>
      <name val="Arial"/>
      <family val="0"/>
      <charset val="1"/>
    </font>
    <font>
      <i val="true"/>
      <sz val="12"/>
      <color rgb="FF3C4650"/>
      <name val="Arial"/>
      <family val="0"/>
      <charset val="1"/>
    </font>
    <font>
      <sz val="10.5"/>
      <color rgb="FF1B1F23"/>
      <name val="Arial"/>
      <family val="0"/>
      <charset val="1"/>
    </font>
    <font>
      <b val="true"/>
      <sz val="12"/>
      <color rgb="FF0B6B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6"/>
      <color rgb="FF1B1F23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1"/>
      <color rgb="FF0B6B3A"/>
      <name val="Arial"/>
      <family val="0"/>
      <charset val="1"/>
    </font>
    <font>
      <i val="true"/>
      <sz val="10"/>
      <color rgb="FF3C46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.5"/>
      <color rgb="FF3C465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.5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EEF2F1"/>
      </patternFill>
    </fill>
    <fill>
      <patternFill patternType="solid">
        <fgColor rgb="FF1B1F23"/>
        <bgColor rgb="FF003300"/>
      </patternFill>
    </fill>
    <fill>
      <patternFill patternType="solid">
        <fgColor rgb="FFFFFFFF"/>
        <bgColor rgb="FFEEF2F1"/>
      </patternFill>
    </fill>
    <fill>
      <patternFill patternType="solid">
        <fgColor rgb="FFEEF2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08000"/>
      <rgbColor rgb="FF800080"/>
      <rgbColor rgb="FF008080"/>
      <rgbColor rgb="FFC7CDD1"/>
      <rgbColor rgb="FF878787"/>
      <rgbColor rgb="FF9999FF"/>
      <rgbColor rgb="FF993366"/>
      <rgbColor rgb="FFEEF2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FC9A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1F23"/>
      <rgbColor rgb="FF993300"/>
      <rgbColor rgb="FF993366"/>
      <rgbColor rgb="FF333399"/>
      <rgbColor rgb="FF3C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Current vs. Target Maturity Level by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Current Level</c:v>
                </c:pt>
              </c:strCache>
            </c:strRef>
          </c:tx>
          <c:spPr>
            <a:solidFill>
              <a:srgbClr val="7FC9A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Coverage &amp; Policy Automation</c:v>
                </c:pt>
                <c:pt idx="1">
                  <c:v>Application Consistency</c:v>
                </c:pt>
                <c:pt idx="2">
                  <c:v>Storage, Immutability &amp; Security</c:v>
                </c:pt>
                <c:pt idx="3">
                  <c:v>Centralized Management &amp; Multi-Cluster</c:v>
                </c:pt>
                <c:pt idx="4">
                  <c:v>Disaster Recovery</c:v>
                </c:pt>
                <c:pt idx="5">
                  <c:v>Observability, Compliance &amp; Reporting</c:v>
                </c:pt>
                <c:pt idx="6">
                  <c:v>People, Process &amp; Continuous Validation</c:v>
                </c:pt>
              </c:strCache>
            </c:strRef>
          </c:cat>
          <c:val>
            <c:numRef>
              <c:f>Summary!$B$4:$B$10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Summary!C3</c:f>
              <c:strCache>
                <c:ptCount val="1"/>
                <c:pt idx="0">
                  <c:v>Target Level</c:v>
                </c:pt>
              </c:strCache>
            </c:strRef>
          </c:tx>
          <c:spPr>
            <a:solidFill>
              <a:srgbClr val="0B6B3A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Coverage &amp; Policy Automation</c:v>
                </c:pt>
                <c:pt idx="1">
                  <c:v>Application Consistency</c:v>
                </c:pt>
                <c:pt idx="2">
                  <c:v>Storage, Immutability &amp; Security</c:v>
                </c:pt>
                <c:pt idx="3">
                  <c:v>Centralized Management &amp; Multi-Cluster</c:v>
                </c:pt>
                <c:pt idx="4">
                  <c:v>Disaster Recovery</c:v>
                </c:pt>
                <c:pt idx="5">
                  <c:v>Observability, Compliance &amp; Reporting</c:v>
                </c:pt>
                <c:pt idx="6">
                  <c:v>People, Process &amp; Continuous Validation</c:v>
                </c:pt>
              </c:strCache>
            </c:strRef>
          </c:cat>
          <c:val>
            <c:numRef>
              <c:f>Summary!$C$4:$C$10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90601318"/>
        <c:axId val="47421843"/>
      </c:barChart>
      <c:catAx>
        <c:axId val="90601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421843"/>
        <c:crosses val="autoZero"/>
        <c:auto val="1"/>
        <c:lblAlgn val="ctr"/>
        <c:lblOffset val="100"/>
        <c:noMultiLvlLbl val="0"/>
      </c:catAx>
      <c:valAx>
        <c:axId val="47421843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Level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6013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5</xdr:col>
      <xdr:colOff>40320</xdr:colOff>
      <xdr:row>33</xdr:row>
      <xdr:rowOff>170640</xdr:rowOff>
    </xdr:to>
    <xdr:graphicFrame>
      <xdr:nvGraphicFramePr>
        <xdr:cNvPr id="1" name="Chart 1"/>
        <xdr:cNvGraphicFramePr/>
      </xdr:nvGraphicFramePr>
      <xdr:xfrm>
        <a:off x="0" y="43077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5" t="s">
        <v>17</v>
      </c>
    </row>
    <row r="24" customFormat="false" ht="15" hidden="false" customHeight="false" outlineLevel="0" collapsed="false">
      <c r="B2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30"/>
    <col collapsed="false" customWidth="true" hidden="false" outlineLevel="0" max="8" min="7" style="0" width="14"/>
    <col collapsed="false" customWidth="true" hidden="false" outlineLevel="0" max="9" min="9" style="0" width="36"/>
  </cols>
  <sheetData>
    <row r="1" customFormat="false" ht="33.7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</row>
    <row r="2" customFormat="false" ht="78" hidden="false" customHeight="true" outlineLevel="0" collapsed="false">
      <c r="A2" s="7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9"/>
      <c r="H2" s="9"/>
      <c r="I2" s="10"/>
    </row>
    <row r="3" customFormat="false" ht="78" hidden="false" customHeight="true" outlineLevel="0" collapsed="false">
      <c r="A3" s="11" t="s">
        <v>34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9"/>
      <c r="H3" s="9"/>
      <c r="I3" s="10"/>
    </row>
    <row r="4" customFormat="false" ht="78" hidden="false" customHeight="true" outlineLevel="0" collapsed="false">
      <c r="A4" s="7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9"/>
      <c r="H4" s="9"/>
      <c r="I4" s="10"/>
    </row>
    <row r="5" customFormat="false" ht="78" hidden="false" customHeight="true" outlineLevel="0" collapsed="false">
      <c r="A5" s="11" t="s">
        <v>46</v>
      </c>
      <c r="B5" s="12" t="s">
        <v>47</v>
      </c>
      <c r="C5" s="12" t="s">
        <v>48</v>
      </c>
      <c r="D5" s="12" t="s">
        <v>49</v>
      </c>
      <c r="E5" s="12" t="s">
        <v>50</v>
      </c>
      <c r="F5" s="12" t="s">
        <v>51</v>
      </c>
      <c r="G5" s="9"/>
      <c r="H5" s="9"/>
      <c r="I5" s="10"/>
    </row>
    <row r="6" customFormat="false" ht="78" hidden="false" customHeight="true" outlineLevel="0" collapsed="false">
      <c r="A6" s="7" t="s">
        <v>52</v>
      </c>
      <c r="B6" s="8" t="s">
        <v>53</v>
      </c>
      <c r="C6" s="8" t="s">
        <v>54</v>
      </c>
      <c r="D6" s="8" t="s">
        <v>55</v>
      </c>
      <c r="E6" s="8" t="s">
        <v>56</v>
      </c>
      <c r="F6" s="8" t="s">
        <v>57</v>
      </c>
      <c r="G6" s="9"/>
      <c r="H6" s="9"/>
      <c r="I6" s="10"/>
    </row>
    <row r="7" customFormat="false" ht="78" hidden="false" customHeight="true" outlineLevel="0" collapsed="false">
      <c r="A7" s="11" t="s">
        <v>58</v>
      </c>
      <c r="B7" s="12" t="s">
        <v>59</v>
      </c>
      <c r="C7" s="12" t="s">
        <v>60</v>
      </c>
      <c r="D7" s="12" t="s">
        <v>61</v>
      </c>
      <c r="E7" s="12" t="s">
        <v>62</v>
      </c>
      <c r="F7" s="12" t="s">
        <v>63</v>
      </c>
      <c r="G7" s="9"/>
      <c r="H7" s="9"/>
      <c r="I7" s="10"/>
    </row>
    <row r="8" customFormat="false" ht="78" hidden="false" customHeight="true" outlineLevel="0" collapsed="false">
      <c r="A8" s="7" t="s">
        <v>64</v>
      </c>
      <c r="B8" s="8" t="s">
        <v>65</v>
      </c>
      <c r="C8" s="8" t="s">
        <v>66</v>
      </c>
      <c r="D8" s="8" t="s">
        <v>67</v>
      </c>
      <c r="E8" s="8" t="s">
        <v>68</v>
      </c>
      <c r="F8" s="8" t="s">
        <v>69</v>
      </c>
      <c r="G8" s="9"/>
      <c r="H8" s="9"/>
      <c r="I8" s="10"/>
    </row>
  </sheetData>
  <dataValidations count="1">
    <dataValidation allowBlank="true" error="Enter a whole number from 1 to 5." errorStyle="stop" errorTitle="Invalid level" operator="between" prompt="Choose 1 (Ad Hoc) to 5 (Adaptive)" promptTitle="Maturity level" showDropDown="false" showErrorMessage="false" showInputMessage="false" sqref="G2:H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3" t="s">
        <v>70</v>
      </c>
    </row>
    <row r="3" customFormat="false" ht="19.5" hidden="false" customHeight="true" outlineLevel="0" collapsed="false">
      <c r="A3" s="6" t="s">
        <v>19</v>
      </c>
      <c r="B3" s="6" t="s">
        <v>71</v>
      </c>
      <c r="C3" s="6" t="s">
        <v>72</v>
      </c>
      <c r="D3" s="6" t="s">
        <v>73</v>
      </c>
      <c r="E3" s="6" t="s">
        <v>74</v>
      </c>
    </row>
    <row r="4" customFormat="false" ht="30" hidden="false" customHeight="true" outlineLevel="0" collapsed="false">
      <c r="A4" s="7" t="s">
        <v>28</v>
      </c>
      <c r="B4" s="14" t="n">
        <f aca="false">'Self-Assessment'!G2</f>
        <v>0</v>
      </c>
      <c r="C4" s="14" t="n">
        <f aca="false">'Self-Assessment'!H2</f>
        <v>0</v>
      </c>
      <c r="D4" s="14" t="str">
        <f aca="false">IF(AND(B4&lt;&gt;"",C4&lt;&gt;""),C4-B4,"")</f>
        <v/>
      </c>
      <c r="E4" s="8" t="s">
        <v>75</v>
      </c>
    </row>
    <row r="5" customFormat="false" ht="30" hidden="false" customHeight="true" outlineLevel="0" collapsed="false">
      <c r="A5" s="11" t="s">
        <v>34</v>
      </c>
      <c r="B5" s="15" t="n">
        <f aca="false">'Self-Assessment'!G3</f>
        <v>0</v>
      </c>
      <c r="C5" s="15" t="n">
        <f aca="false">'Self-Assessment'!H3</f>
        <v>0</v>
      </c>
      <c r="D5" s="15" t="str">
        <f aca="false">IF(AND(B5&lt;&gt;"",C5&lt;&gt;""),C5-B5,"")</f>
        <v/>
      </c>
      <c r="E5" s="12" t="s">
        <v>76</v>
      </c>
    </row>
    <row r="6" customFormat="false" ht="30" hidden="false" customHeight="true" outlineLevel="0" collapsed="false">
      <c r="A6" s="7" t="s">
        <v>40</v>
      </c>
      <c r="B6" s="14" t="n">
        <f aca="false">'Self-Assessment'!G4</f>
        <v>0</v>
      </c>
      <c r="C6" s="14" t="n">
        <f aca="false">'Self-Assessment'!H4</f>
        <v>0</v>
      </c>
      <c r="D6" s="14" t="str">
        <f aca="false">IF(AND(B6&lt;&gt;"",C6&lt;&gt;""),C6-B6,"")</f>
        <v/>
      </c>
      <c r="E6" s="8" t="s">
        <v>77</v>
      </c>
    </row>
    <row r="7" customFormat="false" ht="30" hidden="false" customHeight="true" outlineLevel="0" collapsed="false">
      <c r="A7" s="11" t="s">
        <v>46</v>
      </c>
      <c r="B7" s="15" t="n">
        <f aca="false">'Self-Assessment'!G5</f>
        <v>0</v>
      </c>
      <c r="C7" s="15" t="n">
        <f aca="false">'Self-Assessment'!H5</f>
        <v>0</v>
      </c>
      <c r="D7" s="15" t="str">
        <f aca="false">IF(AND(B7&lt;&gt;"",C7&lt;&gt;""),C7-B7,"")</f>
        <v/>
      </c>
      <c r="E7" s="12" t="s">
        <v>78</v>
      </c>
    </row>
    <row r="8" customFormat="false" ht="30" hidden="false" customHeight="true" outlineLevel="0" collapsed="false">
      <c r="A8" s="7" t="s">
        <v>52</v>
      </c>
      <c r="B8" s="14" t="n">
        <f aca="false">'Self-Assessment'!G6</f>
        <v>0</v>
      </c>
      <c r="C8" s="14" t="n">
        <f aca="false">'Self-Assessment'!H6</f>
        <v>0</v>
      </c>
      <c r="D8" s="14" t="str">
        <f aca="false">IF(AND(B8&lt;&gt;"",C8&lt;&gt;""),C8-B8,"")</f>
        <v/>
      </c>
      <c r="E8" s="8" t="s">
        <v>79</v>
      </c>
    </row>
    <row r="9" customFormat="false" ht="30" hidden="false" customHeight="true" outlineLevel="0" collapsed="false">
      <c r="A9" s="11" t="s">
        <v>58</v>
      </c>
      <c r="B9" s="15" t="n">
        <f aca="false">'Self-Assessment'!G7</f>
        <v>0</v>
      </c>
      <c r="C9" s="15" t="n">
        <f aca="false">'Self-Assessment'!H7</f>
        <v>0</v>
      </c>
      <c r="D9" s="15" t="str">
        <f aca="false">IF(AND(B9&lt;&gt;"",C9&lt;&gt;""),C9-B9,"")</f>
        <v/>
      </c>
      <c r="E9" s="12" t="s">
        <v>80</v>
      </c>
    </row>
    <row r="10" customFormat="false" ht="30" hidden="false" customHeight="true" outlineLevel="0" collapsed="false">
      <c r="A10" s="7" t="s">
        <v>64</v>
      </c>
      <c r="B10" s="14" t="n">
        <f aca="false">'Self-Assessment'!G8</f>
        <v>0</v>
      </c>
      <c r="C10" s="14" t="n">
        <f aca="false">'Self-Assessment'!H8</f>
        <v>0</v>
      </c>
      <c r="D10" s="14" t="str">
        <f aca="false">IF(AND(B10&lt;&gt;"",C10&lt;&gt;""),C10-B10,"")</f>
        <v/>
      </c>
      <c r="E10" s="8" t="s">
        <v>81</v>
      </c>
    </row>
    <row r="12" customFormat="false" ht="15" hidden="false" customHeight="false" outlineLevel="0" collapsed="false">
      <c r="A12" s="16" t="s">
        <v>82</v>
      </c>
      <c r="B12" s="17" t="n">
        <f aca="false">IFERROR(AVERAGE(B4:B10),"")</f>
        <v>0</v>
      </c>
      <c r="C12" s="17" t="n">
        <f aca="false">IFERROR(AVERAGE(C4:C10),"")</f>
        <v>0</v>
      </c>
    </row>
    <row r="14" customFormat="false" ht="15" hidden="false" customHeight="false" outlineLevel="0" collapsed="false">
      <c r="A14" s="1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62"/>
    <col collapsed="false" customWidth="true" hidden="false" outlineLevel="0" max="7" min="7" style="0" width="3"/>
    <col collapsed="false" customWidth="true" hidden="true" outlineLevel="0" max="8" min="8" style="0" width="6"/>
  </cols>
  <sheetData>
    <row r="1" customFormat="false" ht="19.7" hidden="false" customHeight="false" outlineLevel="0" collapsed="false">
      <c r="A1" s="13" t="s">
        <v>84</v>
      </c>
    </row>
    <row r="2" customFormat="false" ht="15" hidden="false" customHeight="false" outlineLevel="0" collapsed="false">
      <c r="A2" s="19" t="s">
        <v>85</v>
      </c>
    </row>
    <row r="4" customFormat="false" ht="19.5" hidden="false" customHeight="true" outlineLevel="0" collapsed="false">
      <c r="A4" s="6" t="s">
        <v>19</v>
      </c>
      <c r="B4" s="6" t="s">
        <v>71</v>
      </c>
      <c r="C4" s="6" t="s">
        <v>72</v>
      </c>
      <c r="D4" s="6" t="s">
        <v>73</v>
      </c>
      <c r="E4" s="6" t="s">
        <v>86</v>
      </c>
      <c r="F4" s="6" t="s">
        <v>87</v>
      </c>
    </row>
    <row r="5" customFormat="false" ht="42" hidden="false" customHeight="true" outlineLevel="0" collapsed="false">
      <c r="A5" s="7" t="s">
        <v>28</v>
      </c>
      <c r="B5" s="14" t="n">
        <f aca="false">'Self-Assessment'!G2</f>
        <v>0</v>
      </c>
      <c r="C5" s="14" t="n">
        <f aca="false">'Self-Assessment'!H2</f>
        <v>0</v>
      </c>
      <c r="D5" s="14" t="str">
        <f aca="false">IF(AND(B5&lt;&gt;"",C5&lt;&gt;""),C5-B5,"")</f>
        <v/>
      </c>
      <c r="E5" s="20" t="str">
        <f aca="false">IF(D5="","",IF(D5&lt;=0,"On track",IF(D5&gt;=2,"High","Medium")))</f>
        <v/>
      </c>
      <c r="F5" s="8" t="str">
        <f aca="false">IF(B5="","Enter your Current Level on the Self-Assessment tab first.",IF(B5&gt;=5,"Already at Level 5 — focus on sustaining and continuously improving current practices.",IFERROR(INDEX($F$17:$F$44,MATCH(A5&amp;"|"&amp;B5,$H$17:$H$44,0)),"No recommendation found.")))</f>
        <v>Enter your Current Level on the Self-Assessment tab first.</v>
      </c>
    </row>
    <row r="6" customFormat="false" ht="42" hidden="false" customHeight="true" outlineLevel="0" collapsed="false">
      <c r="A6" s="11" t="s">
        <v>34</v>
      </c>
      <c r="B6" s="15" t="n">
        <f aca="false">'Self-Assessment'!G3</f>
        <v>0</v>
      </c>
      <c r="C6" s="15" t="n">
        <f aca="false">'Self-Assessment'!H3</f>
        <v>0</v>
      </c>
      <c r="D6" s="15" t="str">
        <f aca="false">IF(AND(B6&lt;&gt;"",C6&lt;&gt;""),C6-B6,"")</f>
        <v/>
      </c>
      <c r="E6" s="21" t="str">
        <f aca="false">IF(D6="","",IF(D6&lt;=0,"On track",IF(D6&gt;=2,"High","Medium")))</f>
        <v/>
      </c>
      <c r="F6" s="12" t="str">
        <f aca="false">IF(B6="","Enter your Current Level on the Self-Assessment tab first.",IF(B6&gt;=5,"Already at Level 5 — focus on sustaining and continuously improving current practices.",IFERROR(INDEX($F$17:$F$44,MATCH(A6&amp;"|"&amp;B6,$H$17:$H$44,0)),"No recommendation found.")))</f>
        <v>Enter your Current Level on the Self-Assessment tab first.</v>
      </c>
    </row>
    <row r="7" customFormat="false" ht="42" hidden="false" customHeight="true" outlineLevel="0" collapsed="false">
      <c r="A7" s="7" t="s">
        <v>40</v>
      </c>
      <c r="B7" s="14" t="n">
        <f aca="false">'Self-Assessment'!G4</f>
        <v>0</v>
      </c>
      <c r="C7" s="14" t="n">
        <f aca="false">'Self-Assessment'!H4</f>
        <v>0</v>
      </c>
      <c r="D7" s="14" t="str">
        <f aca="false">IF(AND(B7&lt;&gt;"",C7&lt;&gt;""),C7-B7,"")</f>
        <v/>
      </c>
      <c r="E7" s="20" t="str">
        <f aca="false">IF(D7="","",IF(D7&lt;=0,"On track",IF(D7&gt;=2,"High","Medium")))</f>
        <v/>
      </c>
      <c r="F7" s="8" t="str">
        <f aca="false">IF(B7="","Enter your Current Level on the Self-Assessment tab first.",IF(B7&gt;=5,"Already at Level 5 — focus on sustaining and continuously improving current practices.",IFERROR(INDEX($F$17:$F$44,MATCH(A7&amp;"|"&amp;B7,$H$17:$H$44,0)),"No recommendation found.")))</f>
        <v>Enter your Current Level on the Self-Assessment tab first.</v>
      </c>
    </row>
    <row r="8" customFormat="false" ht="42" hidden="false" customHeight="true" outlineLevel="0" collapsed="false">
      <c r="A8" s="11" t="s">
        <v>46</v>
      </c>
      <c r="B8" s="15" t="n">
        <f aca="false">'Self-Assessment'!G5</f>
        <v>0</v>
      </c>
      <c r="C8" s="15" t="n">
        <f aca="false">'Self-Assessment'!H5</f>
        <v>0</v>
      </c>
      <c r="D8" s="15" t="str">
        <f aca="false">IF(AND(B8&lt;&gt;"",C8&lt;&gt;""),C8-B8,"")</f>
        <v/>
      </c>
      <c r="E8" s="21" t="str">
        <f aca="false">IF(D8="","",IF(D8&lt;=0,"On track",IF(D8&gt;=2,"High","Medium")))</f>
        <v/>
      </c>
      <c r="F8" s="12" t="str">
        <f aca="false">IF(B8="","Enter your Current Level on the Self-Assessment tab first.",IF(B8&gt;=5,"Already at Level 5 — focus on sustaining and continuously improving current practices.",IFERROR(INDEX($F$17:$F$44,MATCH(A8&amp;"|"&amp;B8,$H$17:$H$44,0)),"No recommendation found.")))</f>
        <v>Enter your Current Level on the Self-Assessment tab first.</v>
      </c>
    </row>
    <row r="9" customFormat="false" ht="42" hidden="false" customHeight="true" outlineLevel="0" collapsed="false">
      <c r="A9" s="7" t="s">
        <v>52</v>
      </c>
      <c r="B9" s="14" t="n">
        <f aca="false">'Self-Assessment'!G6</f>
        <v>0</v>
      </c>
      <c r="C9" s="14" t="n">
        <f aca="false">'Self-Assessment'!H6</f>
        <v>0</v>
      </c>
      <c r="D9" s="14" t="str">
        <f aca="false">IF(AND(B9&lt;&gt;"",C9&lt;&gt;""),C9-B9,"")</f>
        <v/>
      </c>
      <c r="E9" s="20" t="str">
        <f aca="false">IF(D9="","",IF(D9&lt;=0,"On track",IF(D9&gt;=2,"High","Medium")))</f>
        <v/>
      </c>
      <c r="F9" s="8" t="str">
        <f aca="false">IF(B9="","Enter your Current Level on the Self-Assessment tab first.",IF(B9&gt;=5,"Already at Level 5 — focus on sustaining and continuously improving current practices.",IFERROR(INDEX($F$17:$F$44,MATCH(A9&amp;"|"&amp;B9,$H$17:$H$44,0)),"No recommendation found.")))</f>
        <v>Enter your Current Level on the Self-Assessment tab first.</v>
      </c>
    </row>
    <row r="10" customFormat="false" ht="42" hidden="false" customHeight="true" outlineLevel="0" collapsed="false">
      <c r="A10" s="11" t="s">
        <v>58</v>
      </c>
      <c r="B10" s="15" t="n">
        <f aca="false">'Self-Assessment'!G7</f>
        <v>0</v>
      </c>
      <c r="C10" s="15" t="n">
        <f aca="false">'Self-Assessment'!H7</f>
        <v>0</v>
      </c>
      <c r="D10" s="15" t="str">
        <f aca="false">IF(AND(B10&lt;&gt;"",C10&lt;&gt;""),C10-B10,"")</f>
        <v/>
      </c>
      <c r="E10" s="21" t="str">
        <f aca="false">IF(D10="","",IF(D10&lt;=0,"On track",IF(D10&gt;=2,"High","Medium")))</f>
        <v/>
      </c>
      <c r="F10" s="12" t="str">
        <f aca="false">IF(B10="","Enter your Current Level on the Self-Assessment tab first.",IF(B10&gt;=5,"Already at Level 5 — focus on sustaining and continuously improving current practices.",IFERROR(INDEX($F$17:$F$44,MATCH(A10&amp;"|"&amp;B10,$H$17:$H$44,0)),"No recommendation found.")))</f>
        <v>Enter your Current Level on the Self-Assessment tab first.</v>
      </c>
    </row>
    <row r="11" customFormat="false" ht="42" hidden="false" customHeight="true" outlineLevel="0" collapsed="false">
      <c r="A11" s="7" t="s">
        <v>64</v>
      </c>
      <c r="B11" s="14" t="n">
        <f aca="false">'Self-Assessment'!G8</f>
        <v>0</v>
      </c>
      <c r="C11" s="14" t="n">
        <f aca="false">'Self-Assessment'!H8</f>
        <v>0</v>
      </c>
      <c r="D11" s="14" t="str">
        <f aca="false">IF(AND(B11&lt;&gt;"",C11&lt;&gt;""),C11-B11,"")</f>
        <v/>
      </c>
      <c r="E11" s="20" t="str">
        <f aca="false">IF(D11="","",IF(D11&lt;=0,"On track",IF(D11&gt;=2,"High","Medium")))</f>
        <v/>
      </c>
      <c r="F11" s="8" t="str">
        <f aca="false">IF(B11="","Enter your Current Level on the Self-Assessment tab first.",IF(B11&gt;=5,"Already at Level 5 — focus on sustaining and continuously improving current practices.",IFERROR(INDEX($F$17:$F$44,MATCH(A11&amp;"|"&amp;B11,$H$17:$H$44,0)),"No recommendation found.")))</f>
        <v>Enter your Current Level on the Self-Assessment tab first.</v>
      </c>
    </row>
    <row r="15" customFormat="false" ht="15" hidden="false" customHeight="false" outlineLevel="0" collapsed="false">
      <c r="A15" s="4" t="s">
        <v>88</v>
      </c>
    </row>
    <row r="16" customFormat="false" ht="18" hidden="false" customHeight="true" outlineLevel="0" collapsed="false">
      <c r="A16" s="6" t="s">
        <v>19</v>
      </c>
      <c r="B16" s="6" t="s">
        <v>89</v>
      </c>
      <c r="F16" s="6" t="s">
        <v>90</v>
      </c>
    </row>
    <row r="17" customFormat="false" ht="33.75" hidden="false" customHeight="true" outlineLevel="0" collapsed="false">
      <c r="A17" s="22" t="s">
        <v>28</v>
      </c>
      <c r="B17" s="23" t="s">
        <v>91</v>
      </c>
      <c r="F17" s="24" t="s">
        <v>92</v>
      </c>
      <c r="H17" s="0" t="s">
        <v>93</v>
      </c>
    </row>
    <row r="18" customFormat="false" ht="33.75" hidden="false" customHeight="true" outlineLevel="0" collapsed="false">
      <c r="A18" s="22" t="s">
        <v>28</v>
      </c>
      <c r="B18" s="23" t="s">
        <v>94</v>
      </c>
      <c r="F18" s="24" t="s">
        <v>95</v>
      </c>
      <c r="H18" s="0" t="s">
        <v>96</v>
      </c>
    </row>
    <row r="19" customFormat="false" ht="33.75" hidden="false" customHeight="true" outlineLevel="0" collapsed="false">
      <c r="A19" s="22" t="s">
        <v>28</v>
      </c>
      <c r="B19" s="23" t="s">
        <v>97</v>
      </c>
      <c r="F19" s="24" t="s">
        <v>98</v>
      </c>
      <c r="H19" s="0" t="s">
        <v>99</v>
      </c>
    </row>
    <row r="20" customFormat="false" ht="33.75" hidden="false" customHeight="true" outlineLevel="0" collapsed="false">
      <c r="A20" s="22" t="s">
        <v>28</v>
      </c>
      <c r="B20" s="23" t="s">
        <v>100</v>
      </c>
      <c r="F20" s="24" t="s">
        <v>101</v>
      </c>
      <c r="H20" s="0" t="s">
        <v>102</v>
      </c>
    </row>
    <row r="21" customFormat="false" ht="33.75" hidden="false" customHeight="true" outlineLevel="0" collapsed="false">
      <c r="A21" s="25" t="s">
        <v>34</v>
      </c>
      <c r="B21" s="26" t="s">
        <v>91</v>
      </c>
      <c r="F21" s="27" t="s">
        <v>103</v>
      </c>
      <c r="H21" s="0" t="s">
        <v>104</v>
      </c>
    </row>
    <row r="22" customFormat="false" ht="33.75" hidden="false" customHeight="true" outlineLevel="0" collapsed="false">
      <c r="A22" s="25" t="s">
        <v>34</v>
      </c>
      <c r="B22" s="26" t="s">
        <v>94</v>
      </c>
      <c r="F22" s="27" t="s">
        <v>105</v>
      </c>
      <c r="H22" s="0" t="s">
        <v>106</v>
      </c>
    </row>
    <row r="23" customFormat="false" ht="33.75" hidden="false" customHeight="true" outlineLevel="0" collapsed="false">
      <c r="A23" s="25" t="s">
        <v>34</v>
      </c>
      <c r="B23" s="26" t="s">
        <v>97</v>
      </c>
      <c r="F23" s="27" t="s">
        <v>107</v>
      </c>
      <c r="H23" s="0" t="s">
        <v>108</v>
      </c>
    </row>
    <row r="24" customFormat="false" ht="33.75" hidden="false" customHeight="true" outlineLevel="0" collapsed="false">
      <c r="A24" s="25" t="s">
        <v>34</v>
      </c>
      <c r="B24" s="26" t="s">
        <v>100</v>
      </c>
      <c r="F24" s="27" t="s">
        <v>109</v>
      </c>
      <c r="H24" s="0" t="s">
        <v>110</v>
      </c>
    </row>
    <row r="25" customFormat="false" ht="33.75" hidden="false" customHeight="true" outlineLevel="0" collapsed="false">
      <c r="A25" s="22" t="s">
        <v>40</v>
      </c>
      <c r="B25" s="23" t="s">
        <v>91</v>
      </c>
      <c r="F25" s="24" t="s">
        <v>111</v>
      </c>
      <c r="H25" s="0" t="s">
        <v>112</v>
      </c>
    </row>
    <row r="26" customFormat="false" ht="33.75" hidden="false" customHeight="true" outlineLevel="0" collapsed="false">
      <c r="A26" s="22" t="s">
        <v>40</v>
      </c>
      <c r="B26" s="23" t="s">
        <v>94</v>
      </c>
      <c r="F26" s="24" t="s">
        <v>113</v>
      </c>
      <c r="H26" s="0" t="s">
        <v>114</v>
      </c>
    </row>
    <row r="27" customFormat="false" ht="33.75" hidden="false" customHeight="true" outlineLevel="0" collapsed="false">
      <c r="A27" s="22" t="s">
        <v>40</v>
      </c>
      <c r="B27" s="23" t="s">
        <v>97</v>
      </c>
      <c r="F27" s="24" t="s">
        <v>115</v>
      </c>
      <c r="H27" s="0" t="s">
        <v>116</v>
      </c>
    </row>
    <row r="28" customFormat="false" ht="33.75" hidden="false" customHeight="true" outlineLevel="0" collapsed="false">
      <c r="A28" s="22" t="s">
        <v>40</v>
      </c>
      <c r="B28" s="23" t="s">
        <v>100</v>
      </c>
      <c r="F28" s="24" t="s">
        <v>117</v>
      </c>
      <c r="H28" s="0" t="s">
        <v>118</v>
      </c>
    </row>
    <row r="29" customFormat="false" ht="33.75" hidden="false" customHeight="true" outlineLevel="0" collapsed="false">
      <c r="A29" s="25" t="s">
        <v>46</v>
      </c>
      <c r="B29" s="26" t="s">
        <v>91</v>
      </c>
      <c r="F29" s="27" t="s">
        <v>119</v>
      </c>
      <c r="H29" s="0" t="s">
        <v>120</v>
      </c>
    </row>
    <row r="30" customFormat="false" ht="33.75" hidden="false" customHeight="true" outlineLevel="0" collapsed="false">
      <c r="A30" s="25" t="s">
        <v>46</v>
      </c>
      <c r="B30" s="26" t="s">
        <v>94</v>
      </c>
      <c r="F30" s="27" t="s">
        <v>121</v>
      </c>
      <c r="H30" s="0" t="s">
        <v>122</v>
      </c>
    </row>
    <row r="31" customFormat="false" ht="33.75" hidden="false" customHeight="true" outlineLevel="0" collapsed="false">
      <c r="A31" s="25" t="s">
        <v>46</v>
      </c>
      <c r="B31" s="26" t="s">
        <v>97</v>
      </c>
      <c r="F31" s="27" t="s">
        <v>123</v>
      </c>
      <c r="H31" s="0" t="s">
        <v>124</v>
      </c>
    </row>
    <row r="32" customFormat="false" ht="33.75" hidden="false" customHeight="true" outlineLevel="0" collapsed="false">
      <c r="A32" s="25" t="s">
        <v>46</v>
      </c>
      <c r="B32" s="26" t="s">
        <v>100</v>
      </c>
      <c r="F32" s="27" t="s">
        <v>125</v>
      </c>
      <c r="H32" s="0" t="s">
        <v>126</v>
      </c>
    </row>
    <row r="33" customFormat="false" ht="33.75" hidden="false" customHeight="true" outlineLevel="0" collapsed="false">
      <c r="A33" s="22" t="s">
        <v>52</v>
      </c>
      <c r="B33" s="23" t="s">
        <v>91</v>
      </c>
      <c r="F33" s="24" t="s">
        <v>127</v>
      </c>
      <c r="H33" s="0" t="s">
        <v>128</v>
      </c>
    </row>
    <row r="34" customFormat="false" ht="33.75" hidden="false" customHeight="true" outlineLevel="0" collapsed="false">
      <c r="A34" s="22" t="s">
        <v>52</v>
      </c>
      <c r="B34" s="23" t="s">
        <v>94</v>
      </c>
      <c r="F34" s="24" t="s">
        <v>129</v>
      </c>
      <c r="H34" s="0" t="s">
        <v>130</v>
      </c>
    </row>
    <row r="35" customFormat="false" ht="33.75" hidden="false" customHeight="true" outlineLevel="0" collapsed="false">
      <c r="A35" s="22" t="s">
        <v>52</v>
      </c>
      <c r="B35" s="23" t="s">
        <v>97</v>
      </c>
      <c r="F35" s="24" t="s">
        <v>131</v>
      </c>
      <c r="H35" s="0" t="s">
        <v>132</v>
      </c>
    </row>
    <row r="36" customFormat="false" ht="33.75" hidden="false" customHeight="true" outlineLevel="0" collapsed="false">
      <c r="A36" s="22" t="s">
        <v>52</v>
      </c>
      <c r="B36" s="23" t="s">
        <v>100</v>
      </c>
      <c r="F36" s="24" t="s">
        <v>133</v>
      </c>
      <c r="H36" s="0" t="s">
        <v>134</v>
      </c>
    </row>
    <row r="37" customFormat="false" ht="33.75" hidden="false" customHeight="true" outlineLevel="0" collapsed="false">
      <c r="A37" s="25" t="s">
        <v>58</v>
      </c>
      <c r="B37" s="26" t="s">
        <v>91</v>
      </c>
      <c r="F37" s="27" t="s">
        <v>135</v>
      </c>
      <c r="H37" s="0" t="s">
        <v>136</v>
      </c>
    </row>
    <row r="38" customFormat="false" ht="33.75" hidden="false" customHeight="true" outlineLevel="0" collapsed="false">
      <c r="A38" s="25" t="s">
        <v>58</v>
      </c>
      <c r="B38" s="26" t="s">
        <v>94</v>
      </c>
      <c r="F38" s="27" t="s">
        <v>137</v>
      </c>
      <c r="H38" s="0" t="s">
        <v>138</v>
      </c>
    </row>
    <row r="39" customFormat="false" ht="33.75" hidden="false" customHeight="true" outlineLevel="0" collapsed="false">
      <c r="A39" s="25" t="s">
        <v>58</v>
      </c>
      <c r="B39" s="26" t="s">
        <v>97</v>
      </c>
      <c r="F39" s="27" t="s">
        <v>139</v>
      </c>
      <c r="H39" s="0" t="s">
        <v>140</v>
      </c>
    </row>
    <row r="40" customFormat="false" ht="33.75" hidden="false" customHeight="true" outlineLevel="0" collapsed="false">
      <c r="A40" s="25" t="s">
        <v>58</v>
      </c>
      <c r="B40" s="26" t="s">
        <v>100</v>
      </c>
      <c r="F40" s="27" t="s">
        <v>141</v>
      </c>
      <c r="H40" s="0" t="s">
        <v>142</v>
      </c>
    </row>
    <row r="41" customFormat="false" ht="33.75" hidden="false" customHeight="true" outlineLevel="0" collapsed="false">
      <c r="A41" s="22" t="s">
        <v>64</v>
      </c>
      <c r="B41" s="23" t="s">
        <v>91</v>
      </c>
      <c r="F41" s="24" t="s">
        <v>143</v>
      </c>
      <c r="H41" s="0" t="s">
        <v>144</v>
      </c>
    </row>
    <row r="42" customFormat="false" ht="33.75" hidden="false" customHeight="true" outlineLevel="0" collapsed="false">
      <c r="A42" s="22" t="s">
        <v>64</v>
      </c>
      <c r="B42" s="23" t="s">
        <v>94</v>
      </c>
      <c r="F42" s="24" t="s">
        <v>145</v>
      </c>
      <c r="H42" s="0" t="s">
        <v>146</v>
      </c>
    </row>
    <row r="43" customFormat="false" ht="33.75" hidden="false" customHeight="true" outlineLevel="0" collapsed="false">
      <c r="A43" s="22" t="s">
        <v>64</v>
      </c>
      <c r="B43" s="23" t="s">
        <v>97</v>
      </c>
      <c r="F43" s="24" t="s">
        <v>147</v>
      </c>
      <c r="H43" s="0" t="s">
        <v>148</v>
      </c>
    </row>
    <row r="44" customFormat="false" ht="33.75" hidden="false" customHeight="true" outlineLevel="0" collapsed="false">
      <c r="A44" s="22" t="s">
        <v>64</v>
      </c>
      <c r="B44" s="23" t="s">
        <v>100</v>
      </c>
      <c r="F44" s="24" t="s">
        <v>149</v>
      </c>
      <c r="H44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2026-07-24T04:09:03Z</dcterms:created>
  <dc:creator>openpyxl</dc:creator>
  <dc:description/>
  <dc:language>en-US</dc:language>
  <cp:lastModifiedBy/>
  <dcterms:modified xsi:type="dcterms:W3CDTF">2026-07-24T14:09:15Z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